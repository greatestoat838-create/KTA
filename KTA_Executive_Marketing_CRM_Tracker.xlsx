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Marketing Dashboard" sheetId="1" state="visible" r:id="rId1"/>
    <sheet xmlns:r="http://schemas.openxmlformats.org/officeDocument/2006/relationships" name="Active Leads Pipeline" sheetId="2" state="visible" r:id="rId2"/>
    <sheet xmlns:r="http://schemas.openxmlformats.org/officeDocument/2006/relationships" name="CRM Guide &amp; 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8.5"/>
    </font>
    <font>
      <name val="Calibri"/>
      <b val="1"/>
      <color rgb="00111111"/>
      <sz val="18"/>
    </font>
    <font>
      <name val="Calibri"/>
      <color rgb="00666666"/>
      <sz val="7.5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sz val="9"/>
    </font>
    <font>
      <name val="Calibri"/>
      <b val="1"/>
      <color rgb="00FFFFFF"/>
      <sz val="9.5"/>
    </font>
    <font>
      <name val="Calibri"/>
      <sz val="9.5"/>
    </font>
    <font>
      <name val="Calibri"/>
      <b val="1"/>
      <color rgb="002E7D32"/>
      <sz val="9.5"/>
    </font>
    <font>
      <name val="Calibri"/>
      <b val="1"/>
      <color rgb="006A1B9A"/>
      <sz val="9.5"/>
    </font>
    <font>
      <name val="Calibri"/>
      <b val="1"/>
      <color rgb="00E65100"/>
      <sz val="9.5"/>
    </font>
    <font>
      <name val="Calibri"/>
      <b val="1"/>
      <color rgb="008C6B1C"/>
      <sz val="9.5"/>
    </font>
    <font>
      <name val="Calibri"/>
      <b val="1"/>
      <color rgb="001565C0"/>
      <sz val="9.5"/>
    </font>
    <font>
      <name val="Calibri"/>
      <b val="1"/>
      <color rgb="00FFFFFF"/>
      <sz val="12"/>
    </font>
  </fonts>
  <fills count="18">
    <fill>
      <patternFill/>
    </fill>
    <fill>
      <patternFill patternType="gray125"/>
    </fill>
    <fill>
      <patternFill patternType="solid">
        <fgColor rgb="001E2812"/>
        <bgColor rgb="001E2812"/>
      </patternFill>
    </fill>
    <fill>
      <patternFill patternType="solid">
        <fgColor rgb="002B3917"/>
        <bgColor rgb="002B3917"/>
      </patternFill>
    </fill>
    <fill>
      <patternFill patternType="solid">
        <fgColor rgb="00F2F6ED"/>
        <bgColor rgb="00F2F6ED"/>
      </patternFill>
    </fill>
    <fill>
      <patternFill patternType="solid">
        <fgColor rgb="00158697"/>
        <bgColor rgb="00158697"/>
      </patternFill>
    </fill>
    <fill>
      <patternFill patternType="solid">
        <fgColor rgb="005C6B3F"/>
        <bgColor rgb="005C6B3F"/>
      </patternFill>
    </fill>
    <fill>
      <patternFill patternType="solid">
        <fgColor rgb="008C6B1C"/>
        <bgColor rgb="008C6B1C"/>
      </patternFill>
    </fill>
    <fill>
      <patternFill patternType="solid">
        <fgColor rgb="001B5E20"/>
        <bgColor rgb="001B5E20"/>
      </patternFill>
    </fill>
    <fill>
      <patternFill patternType="solid">
        <fgColor rgb="00FFFFFF"/>
        <bgColor rgb="00FFFFFF"/>
      </patternFill>
    </fill>
    <fill>
      <patternFill patternType="solid">
        <fgColor rgb="00F9FAF7"/>
        <bgColor rgb="00F9FAF7"/>
      </patternFill>
    </fill>
    <fill>
      <patternFill patternType="solid">
        <fgColor rgb="00E8F5E9"/>
        <bgColor rgb="00E8F5E9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F9FAF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5DDD0"/>
      </left>
      <right style="thin">
        <color rgb="00D5DDD0"/>
      </right>
      <top style="thin">
        <color rgb="00D5DDD0"/>
      </top>
      <bottom style="thin">
        <color rgb="00D5DDD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left" vertical="center"/>
    </xf>
    <xf numFmtId="0" fontId="10" fillId="11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9" borderId="1" applyAlignment="1" pivotButton="0" quotePrefix="0" xfId="0">
      <alignment horizontal="right" vertical="center"/>
    </xf>
    <xf numFmtId="0" fontId="12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0" fontId="15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left" vertical="center"/>
    </xf>
    <xf numFmtId="0" fontId="9" fillId="16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left" vertical="center"/>
    </xf>
    <xf numFmtId="0" fontId="9" fillId="1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20" customWidth="1" min="4" max="4"/>
    <col width="20" customWidth="1" min="5" max="5"/>
    <col width="28" customWidth="1" min="6" max="6"/>
    <col width="28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 ht="36" customHeight="1">
      <c r="A1" s="1" t="inlineStr">
        <is>
          <t>KOTTAYAR TRADING AGENCY — EXECUTIVE MARKETING &amp; LEAD ANALYTICS (LIVE)</t>
        </is>
      </c>
    </row>
    <row r="3" ht="20" customHeight="1">
      <c r="B3" s="2" t="inlineStr">
        <is>
          <t>TOTAL LEADS RECEIVED</t>
        </is>
      </c>
      <c r="D3" s="3" t="inlineStr">
        <is>
          <t>WHOLESALE RFQS (500KG+)</t>
        </is>
      </c>
      <c r="F3" s="4" t="inlineStr">
        <is>
          <t>CHEF DISCOVERY REQUESTS</t>
        </is>
      </c>
      <c r="H3" s="5" t="inlineStr">
        <is>
          <t>TOTAL PIPELINE VALUE (INR)</t>
        </is>
      </c>
      <c r="J3" s="6" t="inlineStr">
        <is>
          <t>CONVERTED / CLOSED WON</t>
        </is>
      </c>
    </row>
    <row r="4" ht="32" customHeight="1">
      <c r="B4" s="7">
        <f>COUNTA('Active Leads Pipeline'!A4:A500)</f>
        <v/>
      </c>
      <c r="D4" s="7">
        <f>COUNTIF('Active Leads Pipeline'!C4:C500, "*Wholesale*")</f>
        <v/>
      </c>
      <c r="F4" s="7">
        <f>COUNTIF('Active Leads Pipeline'!C4:C500, "*Chef*")</f>
        <v/>
      </c>
      <c r="H4" s="8">
        <f>SUM('Active Leads Pipeline'!M4:M500)</f>
        <v/>
      </c>
      <c r="J4" s="7">
        <f>COUNTIF('Active Leads Pipeline'!J4:J500, "*Closed Won*")</f>
        <v/>
      </c>
    </row>
    <row r="5" ht="18" customHeight="1">
      <c r="B5" s="9" t="inlineStr">
        <is>
          <t>TOTAL INCOMING INQUIRIES</t>
        </is>
      </c>
      <c r="D5" s="9" t="inlineStr">
        <is>
          <t>BULK COMMERCIAL INQUIRIES</t>
        </is>
      </c>
      <c r="F5" s="9" t="inlineStr">
        <is>
          <t>FREE WELCOME BOX CLAIMS</t>
        </is>
      </c>
      <c r="H5" s="9" t="inlineStr">
        <is>
          <t>ACTIVE QUOTED CONTRACTS</t>
        </is>
      </c>
      <c r="J5" s="9" t="inlineStr">
        <is>
          <t>CONFIRMED DISPATCH ORDERS</t>
        </is>
      </c>
    </row>
    <row r="7" ht="24" customHeight="1">
      <c r="B7" s="10" t="inlineStr">
        <is>
          <t>TOP INQUIRING HOTELS &amp; COMMERCIAL CLIENTS</t>
        </is>
      </c>
      <c r="G7" s="11" t="inlineStr">
        <is>
          <t>MOST DEMANDED SPICE VARIETIES &amp; SECTORS</t>
        </is>
      </c>
    </row>
    <row r="8" ht="22" customHeight="1">
      <c r="B8" s="12" t="inlineStr">
        <is>
          <t>Establishment / Hotel Name</t>
        </is>
      </c>
      <c r="C8" s="12" t="inlineStr">
        <is>
          <t>Location / City</t>
        </is>
      </c>
      <c r="D8" s="12" t="inlineStr">
        <is>
          <t>Total Inquiries</t>
        </is>
      </c>
      <c r="E8" s="12" t="inlineStr">
        <is>
          <t>Last Contact Date</t>
        </is>
      </c>
      <c r="F8" s="12" t="inlineStr">
        <is>
          <t>Key Interest</t>
        </is>
      </c>
      <c r="G8" s="13" t="inlineStr">
        <is>
          <t>Spice Product Category</t>
        </is>
      </c>
      <c r="H8" s="13" t="inlineStr">
        <is>
          <t>Target Sector</t>
        </is>
      </c>
      <c r="I8" s="13" t="inlineStr">
        <is>
          <t>Standard Lot Size</t>
        </is>
      </c>
      <c r="J8" s="13" t="inlineStr">
        <is>
          <t>Inquiry Share</t>
        </is>
      </c>
      <c r="K8" s="13" t="inlineStr">
        <is>
          <t>Demand Trend</t>
        </is>
      </c>
    </row>
    <row r="9" ht="20" customHeight="1">
      <c r="B9" s="14" t="inlineStr">
        <is>
          <t>ITC Grand Chola</t>
        </is>
      </c>
      <c r="C9" s="14" t="inlineStr">
        <is>
          <t>Chennai</t>
        </is>
      </c>
      <c r="D9" s="15" t="n">
        <v>3</v>
      </c>
      <c r="E9" s="15" t="inlineStr">
        <is>
          <t>29-08-2026</t>
        </is>
      </c>
      <c r="F9" s="14" t="inlineStr">
        <is>
          <t>Tellicherry Pepper Bold (1.5T)</t>
        </is>
      </c>
      <c r="G9" s="14" t="inlineStr">
        <is>
          <t>Tellicherry Bold Black Pepper</t>
        </is>
      </c>
      <c r="H9" s="14" t="inlineStr">
        <is>
          <t>5-Star Luxury Dining</t>
        </is>
      </c>
      <c r="I9" s="14" t="inlineStr">
        <is>
          <t>500kg – 2 Tons</t>
        </is>
      </c>
      <c r="J9" s="15" t="inlineStr">
        <is>
          <t>35%</t>
        </is>
      </c>
      <c r="K9" s="15" t="inlineStr">
        <is>
          <t>High / Recurring</t>
        </is>
      </c>
    </row>
    <row r="10" ht="20" customHeight="1">
      <c r="B10" s="16" t="inlineStr">
        <is>
          <t>Taj Coromandel</t>
        </is>
      </c>
      <c r="C10" s="16" t="inlineStr">
        <is>
          <t>Chennai</t>
        </is>
      </c>
      <c r="D10" s="17" t="n">
        <v>2</v>
      </c>
      <c r="E10" s="17" t="inlineStr">
        <is>
          <t>29-08-2026</t>
        </is>
      </c>
      <c r="F10" s="16" t="inlineStr">
        <is>
          <t>Alleppey 8mm+ Cardamom</t>
        </is>
      </c>
      <c r="G10" s="16" t="inlineStr">
        <is>
          <t>Alleppey 8mm+ Green Cardamom</t>
        </is>
      </c>
      <c r="H10" s="16" t="inlineStr">
        <is>
          <t>Fine Confectionery / Banquets</t>
        </is>
      </c>
      <c r="I10" s="16" t="inlineStr">
        <is>
          <t>100kg – 500kg</t>
        </is>
      </c>
      <c r="J10" s="17" t="inlineStr">
        <is>
          <t>22%</t>
        </is>
      </c>
      <c r="K10" s="17" t="inlineStr">
        <is>
          <t>High / Festive</t>
        </is>
      </c>
    </row>
    <row r="11" ht="20" customHeight="1">
      <c r="B11" s="14" t="inlineStr">
        <is>
          <t>Hyatt Regency</t>
        </is>
      </c>
      <c r="C11" s="14" t="inlineStr">
        <is>
          <t>Bengaluru</t>
        </is>
      </c>
      <c r="D11" s="15" t="n">
        <v>2</v>
      </c>
      <c r="E11" s="15" t="inlineStr">
        <is>
          <t>28-08-2026</t>
        </is>
      </c>
      <c r="F11" s="14" t="inlineStr">
        <is>
          <t>Hotel Smart 24/7 Par Supply</t>
        </is>
      </c>
      <c r="G11" s="14" t="inlineStr">
        <is>
          <t>Guntur Stemless Chillies</t>
        </is>
      </c>
      <c r="H11" s="14" t="inlineStr">
        <is>
          <t>Cloud Kitchens &amp; Gravy Base</t>
        </is>
      </c>
      <c r="I11" s="14" t="inlineStr">
        <is>
          <t>500kg Master Bags</t>
        </is>
      </c>
      <c r="J11" s="15" t="inlineStr">
        <is>
          <t>18%</t>
        </is>
      </c>
      <c r="K11" s="15" t="inlineStr">
        <is>
          <t>Steady Par</t>
        </is>
      </c>
    </row>
    <row r="12" ht="20" customHeight="1">
      <c r="B12" s="16" t="inlineStr">
        <is>
          <t>Leela Palace Hotel</t>
        </is>
      </c>
      <c r="C12" s="16" t="inlineStr">
        <is>
          <t>Bengaluru</t>
        </is>
      </c>
      <c r="D12" s="17" t="n">
        <v>1</v>
      </c>
      <c r="E12" s="17" t="inlineStr">
        <is>
          <t>29-08-2026</t>
        </is>
      </c>
      <c r="F12" s="16" t="inlineStr">
        <is>
          <t>Chef Discovery Box Trial</t>
        </is>
      </c>
      <c r="G12" s="16" t="inlineStr">
        <is>
          <t>Cochin Dry Ginger (Spent &amp; Whole)</t>
        </is>
      </c>
      <c r="H12" s="16" t="inlineStr">
        <is>
          <t>Oleoresin / Extraction</t>
        </is>
      </c>
      <c r="I12" s="16" t="inlineStr">
        <is>
          <t>1 Ton – 5 Tons</t>
        </is>
      </c>
      <c r="J12" s="17" t="inlineStr">
        <is>
          <t>15%</t>
        </is>
      </c>
      <c r="K12" s="17" t="inlineStr">
        <is>
          <t>Growing</t>
        </is>
      </c>
    </row>
    <row r="13" ht="20" customHeight="1">
      <c r="B13" s="14" t="inlineStr">
        <is>
          <t>Apex Oleoresins Ltd</t>
        </is>
      </c>
      <c r="C13" s="14" t="inlineStr">
        <is>
          <t>Cochin</t>
        </is>
      </c>
      <c r="D13" s="15" t="n">
        <v>1</v>
      </c>
      <c r="E13" s="15" t="inlineStr">
        <is>
          <t>27-08-2026</t>
        </is>
      </c>
      <c r="F13" s="14" t="inlineStr">
        <is>
          <t>Pinheads &amp; Extraction Spent</t>
        </is>
      </c>
      <c r="G13" s="14" t="inlineStr">
        <is>
          <t>Seed Spices (Jeera &amp; Fennel)</t>
        </is>
      </c>
      <c r="H13" s="14" t="inlineStr">
        <is>
          <t>Industrial Processing</t>
        </is>
      </c>
      <c r="I13" s="14" t="inlineStr">
        <is>
          <t>500kg Master Bags</t>
        </is>
      </c>
      <c r="J13" s="15" t="inlineStr">
        <is>
          <t>10%</t>
        </is>
      </c>
      <c r="K13" s="15" t="inlineStr">
        <is>
          <t>High Volume</t>
        </is>
      </c>
    </row>
  </sheetData>
  <mergeCells count="18">
    <mergeCell ref="F3:G3"/>
    <mergeCell ref="F4:G4"/>
    <mergeCell ref="J3:K3"/>
    <mergeCell ref="J4:K4"/>
    <mergeCell ref="B7:F7"/>
    <mergeCell ref="G7:K7"/>
    <mergeCell ref="J5:K5"/>
    <mergeCell ref="B3:C3"/>
    <mergeCell ref="B5:C5"/>
    <mergeCell ref="F5:G5"/>
    <mergeCell ref="D5:E5"/>
    <mergeCell ref="H5:I5"/>
    <mergeCell ref="D4:E4"/>
    <mergeCell ref="H4:I4"/>
    <mergeCell ref="D3:E3"/>
    <mergeCell ref="A1:K1"/>
    <mergeCell ref="B4:C4"/>
    <mergeCell ref="H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26" customWidth="1" min="3" max="3"/>
    <col width="22" customWidth="1" min="4" max="4"/>
    <col width="28" customWidth="1" min="5" max="5"/>
    <col width="18" customWidth="1" min="6" max="6"/>
    <col width="24" customWidth="1" min="7" max="7"/>
    <col width="36" customWidth="1" min="8" max="8"/>
    <col width="20" customWidth="1" min="9" max="9"/>
    <col width="22" customWidth="1" min="10" max="10"/>
    <col width="35" customWidth="1" min="11" max="11"/>
    <col width="35" customWidth="1" min="12" max="12"/>
    <col width="20" customWidth="1" min="13" max="13"/>
    <col width="18" customWidth="1" min="14" max="14"/>
  </cols>
  <sheetData>
    <row r="1" ht="36" customHeight="1">
      <c r="A1" s="1" t="inlineStr">
        <is>
          <t>KTA SPICES — LIVE INCOMING LEADS &amp; COMMERCIAL CRM PIPELINE</t>
        </is>
      </c>
    </row>
    <row r="2" ht="20" customHeight="1">
      <c r="A2" s="18" t="inlineStr">
        <is>
          <t>WEBSITE INCOMING DATA (AUTO-LOGGED IN REAL TIME)</t>
        </is>
      </c>
      <c r="I2" s="19" t="inlineStr">
        <is>
          <t>ADMIN &amp; SALES MANAGER CRM FOLLOW-UP WORKSPACE</t>
        </is>
      </c>
    </row>
    <row r="3" ht="28" customHeight="1">
      <c r="A3" s="20" t="inlineStr">
        <is>
          <t>Lead ID</t>
        </is>
      </c>
      <c r="B3" s="20" t="inlineStr">
        <is>
          <t>Timestamp (IST)</t>
        </is>
      </c>
      <c r="C3" s="20" t="inlineStr">
        <is>
          <t>Form Category</t>
        </is>
      </c>
      <c r="D3" s="20" t="inlineStr">
        <is>
          <t>Contact / Manager</t>
        </is>
      </c>
      <c r="E3" s="20" t="inlineStr">
        <is>
          <t>Hotel / Establishment</t>
        </is>
      </c>
      <c r="F3" s="20" t="inlineStr">
        <is>
          <t>Phone / WhatsApp</t>
        </is>
      </c>
      <c r="G3" s="20" t="inlineStr">
        <is>
          <t>Email Address</t>
        </is>
      </c>
      <c r="H3" s="20" t="inlineStr">
        <is>
          <t>Requirement &amp; Volume</t>
        </is>
      </c>
      <c r="I3" s="21" t="inlineStr">
        <is>
          <t>Assigned To</t>
        </is>
      </c>
      <c r="J3" s="21" t="inlineStr">
        <is>
          <t>Lead Status</t>
        </is>
      </c>
      <c r="K3" s="21" t="inlineStr">
        <is>
          <t>Manager Call Notes</t>
        </is>
      </c>
      <c r="L3" s="21" t="inlineStr">
        <is>
          <t>Client Feedback &amp; Demands</t>
        </is>
      </c>
      <c r="M3" s="21" t="inlineStr">
        <is>
          <t>Quoted Value (INR)</t>
        </is>
      </c>
      <c r="N3" s="21" t="inlineStr">
        <is>
          <t>Next Follow-Up Date</t>
        </is>
      </c>
    </row>
    <row r="4" ht="24" customHeight="1">
      <c r="A4" s="22" t="inlineStr">
        <is>
          <t>KTA-2026-001</t>
        </is>
      </c>
      <c r="B4" s="22" t="inlineStr">
        <is>
          <t>29-08-2026 14:20</t>
        </is>
      </c>
      <c r="C4" s="23" t="inlineStr">
        <is>
          <t>Wholesale Consignment (500kg+)</t>
        </is>
      </c>
      <c r="D4" s="23" t="inlineStr">
        <is>
          <t>Chef Rajesh Sharma</t>
        </is>
      </c>
      <c r="E4" s="23" t="inlineStr">
        <is>
          <t>ITC Grand Chola, Chennai</t>
        </is>
      </c>
      <c r="F4" s="22" t="inlineStr">
        <is>
          <t>+91 98401 23456</t>
        </is>
      </c>
      <c r="G4" s="23" t="inlineStr">
        <is>
          <t>rajesh.s@itchotels.in</t>
        </is>
      </c>
      <c r="H4" s="23" t="inlineStr">
        <is>
          <t>1.5 Tons Tellicherry Bold Black Pepper + Cochin Ginger</t>
        </is>
      </c>
      <c r="I4" s="23" t="inlineStr">
        <is>
          <t>Trade Desk Admin</t>
        </is>
      </c>
      <c r="J4" s="24" t="inlineStr">
        <is>
          <t>Quotation Sent</t>
        </is>
      </c>
      <c r="K4" s="23" t="inlineStr">
        <is>
          <t>Discussed lot moisture specifications. Sent official GST pro-forma invoice.</t>
        </is>
      </c>
      <c r="L4" s="23" t="inlineStr">
        <is>
          <t>Requires batch GC-MS assay certificate.</t>
        </is>
      </c>
      <c r="M4" s="25" t="n">
        <v>585000</v>
      </c>
      <c r="N4" s="22" t="inlineStr">
        <is>
          <t>01-09-2026</t>
        </is>
      </c>
    </row>
    <row r="5" ht="24" customHeight="1">
      <c r="A5" s="26" t="inlineStr">
        <is>
          <t>KTA-2026-002</t>
        </is>
      </c>
      <c r="B5" s="26" t="inlineStr">
        <is>
          <t>29-08-2026 15:45</t>
        </is>
      </c>
      <c r="C5" s="27" t="inlineStr">
        <is>
          <t>Chef Welcome Discovery Box</t>
        </is>
      </c>
      <c r="D5" s="27" t="inlineStr">
        <is>
          <t>Chef Anthony Dias</t>
        </is>
      </c>
      <c r="E5" s="27" t="inlineStr">
        <is>
          <t>Taj Coromandel, Chennai</t>
        </is>
      </c>
      <c r="F5" s="26" t="inlineStr">
        <is>
          <t>+91 98840 56789</t>
        </is>
      </c>
      <c r="G5" s="27" t="inlineStr">
        <is>
          <t>anthony.dias@tajhotels.com</t>
        </is>
      </c>
      <c r="H5" s="27" t="inlineStr">
        <is>
          <t>Discovery Trial Sample Box (Cardamom 8mm+ &amp; Pepper)</t>
        </is>
      </c>
      <c r="I5" s="27" t="inlineStr">
        <is>
          <t>Sales Exec 1</t>
        </is>
      </c>
      <c r="J5" s="28" t="inlineStr">
        <is>
          <t>Sample Dispatched</t>
        </is>
      </c>
      <c r="K5" s="27" t="inlineStr">
        <is>
          <t>Dispatched sample box ex-warehouse via BlueDart AWB #BLR89231.</t>
        </is>
      </c>
      <c r="L5" s="27" t="inlineStr">
        <is>
          <t>Chef interested in Alleppey 8mm green cardamom aroma.</t>
        </is>
      </c>
      <c r="M5" s="29" t="n">
        <v>0</v>
      </c>
      <c r="N5" s="26" t="inlineStr">
        <is>
          <t>02-09-2026</t>
        </is>
      </c>
    </row>
    <row r="6" ht="24" customHeight="1">
      <c r="A6" s="22" t="inlineStr">
        <is>
          <t>KTA-2026-003</t>
        </is>
      </c>
      <c r="B6" s="22" t="inlineStr">
        <is>
          <t>29-08-2026 17:10</t>
        </is>
      </c>
      <c r="C6" s="23" t="inlineStr">
        <is>
          <t>Corporate Kitchen Partnership</t>
        </is>
      </c>
      <c r="D6" s="23" t="inlineStr">
        <is>
          <t>Praveen Kumar (Purchase Dir)</t>
        </is>
      </c>
      <c r="E6" s="23" t="inlineStr">
        <is>
          <t>Hyatt Regency, Bengaluru</t>
        </is>
      </c>
      <c r="F6" s="22" t="inlineStr">
        <is>
          <t>+91 97412 34567</t>
        </is>
      </c>
      <c r="G6" s="23" t="inlineStr">
        <is>
          <t>praveen.k@hyatt.com</t>
        </is>
      </c>
      <c r="H6" s="23" t="inlineStr">
        <is>
          <t>Hotel Smart 24/7 Par Supply (Monthly 800kg mixed spices)</t>
        </is>
      </c>
      <c r="I6" s="23" t="inlineStr">
        <is>
          <t>Trade Desk Admin</t>
        </is>
      </c>
      <c r="J6" s="30" t="inlineStr">
        <is>
          <t>In Negotiation</t>
        </is>
      </c>
      <c r="K6" s="23" t="inlineStr">
        <is>
          <t>Agreed on monthly par schedule ex-origin. Reviewing 30-day corporate credit terms.</t>
        </is>
      </c>
      <c r="L6" s="23" t="inlineStr">
        <is>
          <t>Requested contract draft for 12 months.</t>
        </is>
      </c>
      <c r="M6" s="25" t="n">
        <v>340000</v>
      </c>
      <c r="N6" s="22" t="inlineStr">
        <is>
          <t>31-08-2026</t>
        </is>
      </c>
    </row>
    <row r="7" ht="24" customHeight="1">
      <c r="A7" s="26" t="inlineStr">
        <is>
          <t>KTA-2026-004</t>
        </is>
      </c>
      <c r="B7" s="26" t="inlineStr">
        <is>
          <t>29-08-2026 18:25</t>
        </is>
      </c>
      <c r="C7" s="27" t="inlineStr">
        <is>
          <t>Wholesale Consignment (500kg+)</t>
        </is>
      </c>
      <c r="D7" s="27" t="inlineStr">
        <is>
          <t>Executive Chef Test</t>
        </is>
      </c>
      <c r="E7" s="27" t="inlineStr">
        <is>
          <t>Leela Palace Hotel</t>
        </is>
      </c>
      <c r="F7" s="26" t="inlineStr">
        <is>
          <t>+91 6363837616</t>
        </is>
      </c>
      <c r="G7" s="27" t="inlineStr">
        <is>
          <t>orders@ktaspices.in</t>
        </is>
      </c>
      <c r="H7" s="27" t="inlineStr">
        <is>
          <t>1 Ton Master Consignment (Tellicherry Bold + Dry Ginger)</t>
        </is>
      </c>
      <c r="I7" s="27" t="inlineStr">
        <is>
          <t>Trade Desk Admin</t>
        </is>
      </c>
      <c r="J7" s="31" t="inlineStr">
        <is>
          <t>New Lead</t>
        </is>
      </c>
      <c r="K7" s="27" t="inlineStr">
        <is>
          <t>Incoming website RFQ received. Auto-logged via webhook.</t>
        </is>
      </c>
      <c r="L7" s="27" t="inlineStr">
        <is>
          <t>Awaiting trade desk discovery call.</t>
        </is>
      </c>
      <c r="M7" s="29" t="n">
        <v>380000</v>
      </c>
      <c r="N7" s="26" t="inlineStr">
        <is>
          <t>30-08-2026</t>
        </is>
      </c>
    </row>
    <row r="8" ht="24" customHeight="1">
      <c r="A8" s="22" t="inlineStr">
        <is>
          <t>KTA-2026-005</t>
        </is>
      </c>
      <c r="B8" s="22" t="inlineStr">
        <is>
          <t>29-08-2026 19:15</t>
        </is>
      </c>
      <c r="C8" s="23" t="inlineStr">
        <is>
          <t>Wholesale Consignment (500kg+)</t>
        </is>
      </c>
      <c r="D8" s="23" t="inlineStr">
        <is>
          <t>Suresh Menon (Plant Mgr)</t>
        </is>
      </c>
      <c r="E8" s="23" t="inlineStr">
        <is>
          <t>Apex Oleoresins Ltd</t>
        </is>
      </c>
      <c r="F8" s="22" t="inlineStr">
        <is>
          <t>+91 94471 23456</t>
        </is>
      </c>
      <c r="G8" s="23" t="inlineStr">
        <is>
          <t>procurement@apexextracts.com</t>
        </is>
      </c>
      <c r="H8" s="23" t="inlineStr">
        <is>
          <t>Pinheads 2 Tons + Spent Ginger Biomass 5 Tons</t>
        </is>
      </c>
      <c r="I8" s="23" t="inlineStr">
        <is>
          <t>Extraction Desk</t>
        </is>
      </c>
      <c r="J8" s="32" t="inlineStr">
        <is>
          <t>Followed Up / In Call</t>
        </is>
      </c>
      <c r="K8" s="23" t="inlineStr">
        <is>
          <t>Discussed residual piperine content and moisture limits below 10%.</t>
        </is>
      </c>
      <c r="L8" s="23" t="inlineStr">
        <is>
          <t>Sending 5kg lab sample for density testing.</t>
        </is>
      </c>
      <c r="M8" s="25" t="n">
        <v>820000</v>
      </c>
      <c r="N8" s="22" t="inlineStr">
        <is>
          <t>03-09-2026</t>
        </is>
      </c>
    </row>
  </sheetData>
  <mergeCells count="3">
    <mergeCell ref="I2:N2"/>
    <mergeCell ref="A2:H2"/>
    <mergeCell ref="A1:N1"/>
  </mergeCells>
  <dataValidations count="1">
    <dataValidation sqref="J4:J1000" showDropDown="0" showInputMessage="0" showErrorMessage="0" allowBlank="1" type="list">
      <formula1>"New Lead,Followed Up / In Call,Sample Dispatched,Quotation Sent,In Negotiation,Closed Won (Converted),Closed Lost,On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65" customWidth="1" min="3" max="3"/>
    <col width="22" customWidth="1" min="4" max="4"/>
  </cols>
  <sheetData>
    <row r="1" ht="28" customHeight="1">
      <c r="A1" s="33" t="inlineStr">
        <is>
          <t>KTA COMMERCIAL CRM WORKFLOW &amp; SLA TARGETS</t>
        </is>
      </c>
    </row>
    <row r="3" ht="24" customHeight="1">
      <c r="A3" s="34" t="inlineStr">
        <is>
          <t>Stage Name</t>
        </is>
      </c>
      <c r="B3" s="34" t="inlineStr">
        <is>
          <t>Color Code</t>
        </is>
      </c>
      <c r="C3" s="34" t="inlineStr">
        <is>
          <t>Action Required by Trade Desk / Manager</t>
        </is>
      </c>
      <c r="D3" s="34" t="inlineStr">
        <is>
          <t>Target Response SLA</t>
        </is>
      </c>
    </row>
    <row r="4" ht="24" customHeight="1">
      <c r="A4" s="35" t="inlineStr">
        <is>
          <t>1. New Lead</t>
        </is>
      </c>
      <c r="B4" s="35" t="inlineStr">
        <is>
          <t>Soft Gold (#FFF8E1)</t>
        </is>
      </c>
      <c r="C4" s="35" t="inlineStr">
        <is>
          <t>Lead received from website form. Instant Zoho email alert triggered.</t>
        </is>
      </c>
      <c r="D4" s="36" t="inlineStr">
        <is>
          <t>Instant (&lt; 5 Mins)</t>
        </is>
      </c>
    </row>
    <row r="5" ht="24" customHeight="1">
      <c r="A5" s="37" t="inlineStr">
        <is>
          <t>2. Followed Up / In Call</t>
        </is>
      </c>
      <c r="B5" s="37" t="inlineStr">
        <is>
          <t>Soft Blue (#E3F2FD)</t>
        </is>
      </c>
      <c r="C5" s="37" t="inlineStr">
        <is>
          <t>Manager dials WhatsApp / Hotline to discuss grade specs and packaging.</t>
        </is>
      </c>
      <c r="D5" s="38" t="inlineStr">
        <is>
          <t>Within 2 Hours</t>
        </is>
      </c>
    </row>
    <row r="6" ht="24" customHeight="1">
      <c r="A6" s="35" t="inlineStr">
        <is>
          <t>3. Sample Dispatched</t>
        </is>
      </c>
      <c r="B6" s="35" t="inlineStr">
        <is>
          <t>Soft Purple (#F3E5F5)</t>
        </is>
      </c>
      <c r="C6" s="35" t="inlineStr">
        <is>
          <t>Dispatched complimentary Chef Welcome Box or spice discovery kit.</t>
        </is>
      </c>
      <c r="D6" s="36" t="inlineStr">
        <is>
          <t>Same Day Dispatch</t>
        </is>
      </c>
    </row>
    <row r="7" ht="24" customHeight="1">
      <c r="A7" s="37" t="inlineStr">
        <is>
          <t>4. Quotation Sent</t>
        </is>
      </c>
      <c r="B7" s="37" t="inlineStr">
        <is>
          <t>Soft Green (#E8F5E9)</t>
        </is>
      </c>
      <c r="C7" s="37" t="inlineStr">
        <is>
          <t>Generated and emailed official GST pro-forma invoice with HSN code.</t>
        </is>
      </c>
      <c r="D7" s="38" t="inlineStr">
        <is>
          <t>Within 24 Hours</t>
        </is>
      </c>
    </row>
    <row r="8" ht="24" customHeight="1">
      <c r="A8" s="35" t="inlineStr">
        <is>
          <t>5. In Negotiation</t>
        </is>
      </c>
      <c r="B8" s="35" t="inlineStr">
        <is>
          <t>Soft Orange (#FFF3E0)</t>
        </is>
      </c>
      <c r="C8" s="35" t="inlineStr">
        <is>
          <t>Discussing volume pricing, JIT Hotel Smart corridor dispatch, or credit.</t>
        </is>
      </c>
      <c r="D8" s="36" t="inlineStr">
        <is>
          <t>1 to 3 Days</t>
        </is>
      </c>
    </row>
    <row r="9" ht="24" customHeight="1">
      <c r="A9" s="37" t="inlineStr">
        <is>
          <t>6. Closed Won (Converted)</t>
        </is>
      </c>
      <c r="B9" s="37" t="inlineStr">
        <is>
          <t>Emerald Green (#E8F8F5)</t>
        </is>
      </c>
      <c r="C9" s="37" t="inlineStr">
        <is>
          <t>Advance received / PO signed. Consignment dispatched ex-origin.</t>
        </is>
      </c>
      <c r="D9" s="38" t="inlineStr">
        <is>
          <t>Closed Won</t>
        </is>
      </c>
    </row>
    <row r="10" ht="24" customHeight="1">
      <c r="A10" s="35" t="inlineStr">
        <is>
          <t>7. Closed Lost</t>
        </is>
      </c>
      <c r="B10" s="35" t="inlineStr">
        <is>
          <t>Soft Red (#FFEBEE)</t>
        </is>
      </c>
      <c r="C10" s="35" t="inlineStr">
        <is>
          <t>Client budget mismatch, below 500kg wholesale MOQ, or cancelled.</t>
        </is>
      </c>
      <c r="D10" s="36" t="inlineStr">
        <is>
          <t>Archived</t>
        </is>
      </c>
    </row>
    <row r="11" ht="24" customHeight="1">
      <c r="A11" s="37" t="inlineStr">
        <is>
          <t>8. On Hold</t>
        </is>
      </c>
      <c r="B11" s="37" t="inlineStr">
        <is>
          <t>Grey (#ECEFF1)</t>
        </is>
      </c>
      <c r="C11" s="37" t="inlineStr">
        <is>
          <t>Seasonal harvest waiting, or scheduled for future hotel property opening.</t>
        </is>
      </c>
      <c r="D11" s="38" t="inlineStr">
        <is>
          <t>Follow-Up Set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2026-08-29T14:04:17Z</dcterms:created>
  <dcterms:modified xmlns:dcterms="http://purl.org/dc/terms/" xmlns:xsi="http://www.w3.org/2001/XMLSchema-instance" xsi:type="dcterms:W3CDTF">2026-08-29T14:04:17Z</dcterms:modified>
</cp:coreProperties>
</file>