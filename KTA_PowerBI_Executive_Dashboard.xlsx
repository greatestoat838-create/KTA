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PowerBI Dashboard" sheetId="1" state="visible" r:id="rId1"/>
    <sheet xmlns:r="http://schemas.openxmlformats.org/officeDocument/2006/relationships" name="Active Leads Pip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29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94A3B8"/>
      <sz val="8"/>
    </font>
    <font>
      <name val="Segoe UI"/>
      <b val="1"/>
      <color rgb="002563EB"/>
      <sz val="8.5"/>
    </font>
    <font>
      <name val="Segoe UI"/>
      <b val="1"/>
      <color rgb="000F172A"/>
      <sz val="20"/>
    </font>
    <font>
      <name val="Segoe UI"/>
      <b val="1"/>
      <color rgb="0064748B"/>
      <sz val="7.5"/>
    </font>
    <font>
      <name val="Segoe UI"/>
      <b val="1"/>
      <color rgb="004F46E5"/>
      <sz val="8.5"/>
    </font>
    <font>
      <name val="Segoe UI"/>
      <b val="1"/>
      <color rgb="000D9488"/>
      <sz val="8.5"/>
    </font>
    <font>
      <name val="Segoe UI"/>
      <b val="1"/>
      <color rgb="00D97706"/>
      <sz val="8.5"/>
    </font>
    <font>
      <name val="Segoe UI"/>
      <b val="1"/>
      <color rgb="00059669"/>
      <sz val="8.5"/>
    </font>
    <font>
      <name val="Segoe UI"/>
      <b val="1"/>
      <color rgb="007C3AED"/>
      <sz val="8.5"/>
    </font>
    <font>
      <name val="Segoe UI"/>
      <b val="1"/>
      <color rgb="00FFFFFF"/>
      <sz val="9.5"/>
    </font>
    <font>
      <name val="Segoe UI"/>
      <b val="1"/>
      <color rgb="0064748B"/>
      <sz val="8.5"/>
    </font>
    <font>
      <name val="Segoe UI"/>
      <color rgb="000F172A"/>
      <sz val="9"/>
    </font>
    <font>
      <name val="Segoe UI"/>
      <b val="1"/>
      <color rgb="00B45309"/>
      <sz val="8"/>
    </font>
    <font>
      <name val="Segoe UI"/>
      <b val="1"/>
      <color rgb="007E22CE"/>
      <sz val="8"/>
    </font>
    <font>
      <name val="Segoe UI"/>
      <b val="1"/>
      <color rgb="00C2410C"/>
      <sz val="8"/>
    </font>
    <font>
      <name val="Segoe UI"/>
      <b val="1"/>
      <color rgb="000369A1"/>
      <sz val="8"/>
    </font>
    <font>
      <name val="Segoe UI"/>
      <b val="1"/>
      <color rgb="0015803D"/>
      <sz val="8"/>
    </font>
    <font>
      <name val="Consolas"/>
      <color rgb="004F46E5"/>
      <sz val="9"/>
    </font>
    <font>
      <name val="Segoe UI"/>
      <b val="1"/>
      <color rgb="000F172A"/>
      <sz val="16"/>
    </font>
    <font>
      <name val="Segoe UI"/>
      <b val="1"/>
      <color rgb="00B91C1C"/>
      <sz val="8"/>
    </font>
    <font>
      <name val="Segoe UI"/>
      <b val="1"/>
      <color rgb="00FFFFFF"/>
      <sz val="8.5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8.5"/>
    </font>
    <font>
      <name val="Segoe UI"/>
      <b val="1"/>
      <color rgb="000369A1"/>
      <sz val="8.5"/>
    </font>
    <font>
      <name val="Segoe UI"/>
      <b val="1"/>
      <color rgb="00C2410C"/>
      <sz val="8.5"/>
    </font>
    <font>
      <name val="Segoe UI"/>
      <b val="1"/>
      <color rgb="00B45309"/>
      <sz val="8.5"/>
    </font>
  </fonts>
  <fills count="1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  <fill>
      <patternFill patternType="solid">
        <fgColor rgb="00FFEDD5"/>
        <bgColor rgb="00FFEDD5"/>
      </patternFill>
    </fill>
    <fill>
      <patternFill patternType="solid">
        <fgColor rgb="00E0F2FE"/>
        <bgColor rgb="00E0F2FE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B45309"/>
        <bgColor rgb="00B45309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2563EB"/>
      </top>
      <bottom style="thin">
        <color rgb="00E2E8F0"/>
      </bottom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4F46E5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0D9488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D97706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059669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12" fillId="6" borderId="7" applyAlignment="1" pivotButton="0" quotePrefix="0" xfId="0">
      <alignment horizontal="left" vertical="center"/>
    </xf>
    <xf numFmtId="0" fontId="12" fillId="6" borderId="7" applyAlignment="1" pivotButton="0" quotePrefix="0" xfId="0">
      <alignment horizontal="center" vertical="center"/>
    </xf>
    <xf numFmtId="0" fontId="13" fillId="5" borderId="7" applyAlignment="1" pivotButton="0" quotePrefix="0" xfId="0">
      <alignment horizontal="left" vertical="center"/>
    </xf>
    <xf numFmtId="0" fontId="13" fillId="5" borderId="7" applyAlignment="1" pivotButton="0" quotePrefix="0" xfId="0">
      <alignment horizontal="center" vertical="center"/>
    </xf>
    <xf numFmtId="0" fontId="14" fillId="7" borderId="7" applyAlignment="1" pivotButton="0" quotePrefix="0" xfId="0">
      <alignment horizontal="center" vertical="center"/>
    </xf>
    <xf numFmtId="0" fontId="19" fillId="5" borderId="7" applyAlignment="1" pivotButton="0" quotePrefix="0" xfId="0">
      <alignment horizontal="center" vertical="center"/>
    </xf>
    <xf numFmtId="0" fontId="15" fillId="8" borderId="7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center" vertical="center"/>
    </xf>
    <xf numFmtId="0" fontId="18" fillId="11" borderId="7" applyAlignment="1" pivotButton="0" quotePrefix="0" xfId="0">
      <alignment horizontal="center" vertical="center"/>
    </xf>
    <xf numFmtId="0" fontId="21" fillId="12" borderId="7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0" fontId="23" fillId="3" borderId="7" applyAlignment="1" pivotButton="0" quotePrefix="0" xfId="0">
      <alignment horizontal="center" vertical="center" wrapText="1"/>
    </xf>
    <xf numFmtId="0" fontId="23" fillId="13" borderId="7" applyAlignment="1" pivotButton="0" quotePrefix="0" xfId="0">
      <alignment horizontal="center" vertical="center" wrapText="1"/>
    </xf>
    <xf numFmtId="0" fontId="24" fillId="6" borderId="7" applyAlignment="1" pivotButton="0" quotePrefix="0" xfId="0">
      <alignment horizontal="center" vertical="center"/>
    </xf>
    <xf numFmtId="0" fontId="24" fillId="6" borderId="7" applyAlignment="1" pivotButton="0" quotePrefix="0" xfId="0">
      <alignment horizontal="left" vertical="center"/>
    </xf>
    <xf numFmtId="0" fontId="26" fillId="10" borderId="7" applyAlignment="1" pivotButton="0" quotePrefix="0" xfId="0">
      <alignment horizontal="center" vertical="center"/>
    </xf>
    <xf numFmtId="164" fontId="24" fillId="6" borderId="7" applyAlignment="1" pivotButton="0" quotePrefix="0" xfId="0">
      <alignment horizontal="right" vertical="center"/>
    </xf>
    <xf numFmtId="0" fontId="24" fillId="5" borderId="7" applyAlignment="1" pivotButton="0" quotePrefix="0" xfId="0">
      <alignment horizontal="center" vertical="center"/>
    </xf>
    <xf numFmtId="0" fontId="24" fillId="5" borderId="7" applyAlignment="1" pivotButton="0" quotePrefix="0" xfId="0">
      <alignment horizontal="left" vertical="center"/>
    </xf>
    <xf numFmtId="164" fontId="24" fillId="5" borderId="7" applyAlignment="1" pivotButton="0" quotePrefix="0" xfId="0">
      <alignment horizontal="right" vertical="center"/>
    </xf>
    <xf numFmtId="0" fontId="27" fillId="9" borderId="7" applyAlignment="1" pivotButton="0" quotePrefix="0" xfId="0">
      <alignment horizontal="center" vertical="center"/>
    </xf>
    <xf numFmtId="0" fontId="28" fillId="7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2" customWidth="1" min="4" max="4"/>
    <col width="14" customWidth="1" min="5" max="5"/>
    <col width="24" customWidth="1" min="6" max="6"/>
    <col width="18" customWidth="1" min="7" max="7"/>
    <col width="26" customWidth="1" min="8" max="8"/>
    <col width="20" customWidth="1" min="9" max="9"/>
    <col width="16" customWidth="1" min="10" max="10"/>
    <col width="15" customWidth="1" min="11" max="11"/>
    <col width="15" customWidth="1" min="12" max="12"/>
    <col width="18" customWidth="1" min="13" max="13"/>
    <col width="3" customWidth="1" min="14" max="14"/>
  </cols>
  <sheetData>
    <row r="1" ht="34" customHeight="1">
      <c r="A1" s="1" t="n"/>
      <c r="B1" s="2" t="inlineStr">
        <is>
          <t xml:space="preserve">  KTA SPICES — COMMERCIAL INTELLIGENCE &amp; PIPELINE DASHBOARD (LIVE)</t>
        </is>
      </c>
      <c r="O1" s="1" t="n"/>
    </row>
    <row r="2" ht="18" customHeight="1">
      <c r="A2" s="1" t="n"/>
      <c r="B2" s="3" t="inlineStr">
        <is>
          <t xml:space="preserve">  REAL-TIME CULINARY INQUIRIES · WHOLESALE RFQS · HOTEL SMART 24/7 LOGISTICS CORRIDORS · PIPELINE CONVERSION</t>
        </is>
      </c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A4" s="1" t="n"/>
      <c r="B4" s="4" t="inlineStr">
        <is>
          <t>TOTAL LEADS</t>
        </is>
      </c>
      <c r="D4" s="5" t="inlineStr">
        <is>
          <t>WHOLESALE RFQS</t>
        </is>
      </c>
      <c r="F4" s="6" t="inlineStr">
        <is>
          <t>CHEF BOX CLAIMS</t>
        </is>
      </c>
      <c r="H4" s="7" t="inlineStr">
        <is>
          <t>PIPELINE VALUE (INR)</t>
        </is>
      </c>
      <c r="J4" s="8" t="inlineStr">
        <is>
          <t>CLOSED WON</t>
        </is>
      </c>
      <c r="L4" s="9" t="inlineStr">
        <is>
          <t>CONVERSION RATE</t>
        </is>
      </c>
      <c r="N4" s="1" t="n"/>
      <c r="O4" s="1" t="n"/>
    </row>
    <row r="5" ht="30" customHeight="1">
      <c r="A5" s="1" t="n"/>
      <c r="B5" s="10">
        <f>COUNTA('Active Leads Pipeline'!A4:A500)</f>
        <v/>
      </c>
      <c r="D5" s="10">
        <f>COUNTIF('Active Leads Pipeline'!C4:C500, "*Wholesale*")</f>
        <v/>
      </c>
      <c r="F5" s="10">
        <f>COUNTIF('Active Leads Pipeline'!C4:C500, "*Chef*")</f>
        <v/>
      </c>
      <c r="H5" s="11">
        <f>SUM('Active Leads Pipeline'!M4:M500)</f>
        <v/>
      </c>
      <c r="J5" s="10">
        <f>COUNTIF('Active Leads Pipeline'!J4:J500, "*Closed Won*")</f>
        <v/>
      </c>
      <c r="L5" s="12">
        <f>IF(COUNTA('Active Leads Pipeline'!A4:A500)&gt;0, COUNTIF('Active Leads Pipeline'!J4:J500, "*Closed Won*")/COUNTA('Active Leads Pipeline'!A4:A500), 0)</f>
        <v/>
      </c>
      <c r="N5" s="1" t="n"/>
      <c r="O5" s="1" t="n"/>
    </row>
    <row r="6" ht="16" customHeight="1">
      <c r="A6" s="1" t="n"/>
      <c r="B6" s="13" t="inlineStr">
        <is>
          <t>● LIVE SYNC · ALL SOURCES</t>
        </is>
      </c>
      <c r="D6" s="13" t="inlineStr">
        <is>
          <t>500KG+ MASTER LOTS</t>
        </is>
      </c>
      <c r="F6" s="13" t="inlineStr">
        <is>
          <t>ZERO MINIMUM DISCOVERY</t>
        </is>
      </c>
      <c r="H6" s="13" t="inlineStr">
        <is>
          <t>QUOTED ACTIVE CONTRACTS</t>
        </is>
      </c>
      <c r="J6" s="13" t="inlineStr">
        <is>
          <t>CONFIRMED DISPATCH ORDERS</t>
        </is>
      </c>
      <c r="L6" s="13" t="inlineStr">
        <is>
          <t>PIPELINE WIN RATIO</t>
        </is>
      </c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24" customHeight="1">
      <c r="A8" s="1" t="n"/>
      <c r="B8" s="14" t="inlineStr">
        <is>
          <t xml:space="preserve">  TOP INQUIRING HOTEL &amp; COMMERCIAL CLIENT ACCOUNTS</t>
        </is>
      </c>
      <c r="H8" s="14" t="inlineStr">
        <is>
          <t xml:space="preserve">  MOST DEMANDED SPICE VARIETIES &amp; SECTORS</t>
        </is>
      </c>
      <c r="N8" s="1" t="n"/>
      <c r="O8" s="1" t="n"/>
    </row>
    <row r="9" ht="20" customHeight="1">
      <c r="A9" s="1" t="n"/>
      <c r="B9" s="15" t="inlineStr">
        <is>
          <t>Establishment Name</t>
        </is>
      </c>
      <c r="C9" s="15" t="inlineStr">
        <is>
          <t>City / Location</t>
        </is>
      </c>
      <c r="D9" s="16" t="inlineStr">
        <is>
          <t>Inquiries</t>
        </is>
      </c>
      <c r="E9" s="16" t="inlineStr">
        <is>
          <t>Last Date</t>
        </is>
      </c>
      <c r="F9" s="15" t="inlineStr">
        <is>
          <t>Primary Interest</t>
        </is>
      </c>
      <c r="G9" s="16" t="inlineStr">
        <is>
          <t>Account Status</t>
        </is>
      </c>
      <c r="H9" s="15" t="inlineStr">
        <is>
          <t>Spice Product Category</t>
        </is>
      </c>
      <c r="I9" s="15" t="inlineStr">
        <is>
          <t>Target Segment</t>
        </is>
      </c>
      <c r="J9" s="15" t="inlineStr">
        <is>
          <t>Standard Lot Size</t>
        </is>
      </c>
      <c r="K9" s="16" t="inlineStr">
        <is>
          <t>Demand Share</t>
        </is>
      </c>
      <c r="L9" s="16" t="inlineStr">
        <is>
          <t>Volume Index</t>
        </is>
      </c>
      <c r="M9" s="16" t="inlineStr">
        <is>
          <t>Demand Velocity</t>
        </is>
      </c>
      <c r="N9" s="1" t="n"/>
      <c r="O9" s="1" t="n"/>
    </row>
    <row r="10" ht="20" customHeight="1">
      <c r="A10" s="1" t="n"/>
      <c r="B10" s="17" t="inlineStr">
        <is>
          <t>ITC Grand Chola</t>
        </is>
      </c>
      <c r="C10" s="17" t="inlineStr">
        <is>
          <t>Chennai</t>
        </is>
      </c>
      <c r="D10" s="18" t="n">
        <v>3</v>
      </c>
      <c r="E10" s="18" t="inlineStr">
        <is>
          <t>29-08-2026</t>
        </is>
      </c>
      <c r="F10" s="17" t="inlineStr">
        <is>
          <t>Tellicherry Pepper Bold (1.5T)</t>
        </is>
      </c>
      <c r="G10" s="19" t="inlineStr">
        <is>
          <t>High Intent 🔥</t>
        </is>
      </c>
      <c r="H10" s="17" t="inlineStr">
        <is>
          <t>Tellicherry Bold Black Pepper</t>
        </is>
      </c>
      <c r="I10" s="17" t="inlineStr">
        <is>
          <t>5-Star Luxury Dining</t>
        </is>
      </c>
      <c r="J10" s="17" t="inlineStr">
        <is>
          <t>500kg – 2 Tons</t>
        </is>
      </c>
      <c r="K10" s="18" t="inlineStr">
        <is>
          <t>35.0%</t>
        </is>
      </c>
      <c r="L10" s="20" t="inlineStr">
        <is>
          <t>█████████░</t>
        </is>
      </c>
      <c r="M10" s="18" t="inlineStr">
        <is>
          <t>High / Recurring</t>
        </is>
      </c>
      <c r="N10" s="1" t="n"/>
      <c r="O10" s="1" t="n"/>
    </row>
    <row r="11" ht="20" customHeight="1">
      <c r="A11" s="1" t="n"/>
      <c r="B11" s="17" t="inlineStr">
        <is>
          <t>Taj Coromandel</t>
        </is>
      </c>
      <c r="C11" s="17" t="inlineStr">
        <is>
          <t>Chennai</t>
        </is>
      </c>
      <c r="D11" s="18" t="n">
        <v>2</v>
      </c>
      <c r="E11" s="18" t="inlineStr">
        <is>
          <t>29-08-2026</t>
        </is>
      </c>
      <c r="F11" s="17" t="inlineStr">
        <is>
          <t>Alleppey 8mm+ Cardamom</t>
        </is>
      </c>
      <c r="G11" s="21" t="inlineStr">
        <is>
          <t>Sample Sent</t>
        </is>
      </c>
      <c r="H11" s="17" t="inlineStr">
        <is>
          <t>Alleppey 8mm+ Green Cardamom</t>
        </is>
      </c>
      <c r="I11" s="17" t="inlineStr">
        <is>
          <t>Banqueting &amp; Sweets</t>
        </is>
      </c>
      <c r="J11" s="17" t="inlineStr">
        <is>
          <t>100kg – 500kg</t>
        </is>
      </c>
      <c r="K11" s="18" t="inlineStr">
        <is>
          <t>22.0%</t>
        </is>
      </c>
      <c r="L11" s="20" t="inlineStr">
        <is>
          <t>██████░░░░</t>
        </is>
      </c>
      <c r="M11" s="18" t="inlineStr">
        <is>
          <t>High / Festive</t>
        </is>
      </c>
      <c r="N11" s="1" t="n"/>
      <c r="O11" s="1" t="n"/>
    </row>
    <row r="12" ht="20" customHeight="1">
      <c r="A12" s="1" t="n"/>
      <c r="B12" s="17" t="inlineStr">
        <is>
          <t>Hyatt Regency</t>
        </is>
      </c>
      <c r="C12" s="17" t="inlineStr">
        <is>
          <t>Bengaluru</t>
        </is>
      </c>
      <c r="D12" s="18" t="n">
        <v>2</v>
      </c>
      <c r="E12" s="18" t="inlineStr">
        <is>
          <t>28-08-2026</t>
        </is>
      </c>
      <c r="F12" s="17" t="inlineStr">
        <is>
          <t>Hotel Smart Par Supply (800kg)</t>
        </is>
      </c>
      <c r="G12" s="22" t="inlineStr">
        <is>
          <t>Negotiation</t>
        </is>
      </c>
      <c r="H12" s="17" t="inlineStr">
        <is>
          <t>Guntur Stemless Red Chillies</t>
        </is>
      </c>
      <c r="I12" s="17" t="inlineStr">
        <is>
          <t>Cloud Kitchens / Gravies</t>
        </is>
      </c>
      <c r="J12" s="17" t="inlineStr">
        <is>
          <t>500kg Master Bags</t>
        </is>
      </c>
      <c r="K12" s="18" t="inlineStr">
        <is>
          <t>18.0%</t>
        </is>
      </c>
      <c r="L12" s="20" t="inlineStr">
        <is>
          <t>█████░░░░░</t>
        </is>
      </c>
      <c r="M12" s="18" t="inlineStr">
        <is>
          <t>Steady Par</t>
        </is>
      </c>
      <c r="N12" s="1" t="n"/>
      <c r="O12" s="1" t="n"/>
    </row>
    <row r="13" ht="20" customHeight="1">
      <c r="A13" s="1" t="n"/>
      <c r="B13" s="17" t="inlineStr">
        <is>
          <t>Leela Palace Hotel</t>
        </is>
      </c>
      <c r="C13" s="17" t="inlineStr">
        <is>
          <t>Bengaluru</t>
        </is>
      </c>
      <c r="D13" s="18" t="n">
        <v>1</v>
      </c>
      <c r="E13" s="18" t="inlineStr">
        <is>
          <t>29-08-2026</t>
        </is>
      </c>
      <c r="F13" s="17" t="inlineStr">
        <is>
          <t>Chef Discovery Box Trial</t>
        </is>
      </c>
      <c r="G13" s="23" t="inlineStr">
        <is>
          <t>New Lead</t>
        </is>
      </c>
      <c r="H13" s="17" t="inlineStr">
        <is>
          <t>Cochin Dry Ginger (Spent/Whole)</t>
        </is>
      </c>
      <c r="I13" s="17" t="inlineStr">
        <is>
          <t>Oleoresin Distillers</t>
        </is>
      </c>
      <c r="J13" s="17" t="inlineStr">
        <is>
          <t>1 Ton – 5 Tons</t>
        </is>
      </c>
      <c r="K13" s="18" t="inlineStr">
        <is>
          <t>15.0%</t>
        </is>
      </c>
      <c r="L13" s="20" t="inlineStr">
        <is>
          <t>████░░░░░░</t>
        </is>
      </c>
      <c r="M13" s="18" t="inlineStr">
        <is>
          <t>High Tonnage</t>
        </is>
      </c>
      <c r="N13" s="1" t="n"/>
      <c r="O13" s="1" t="n"/>
    </row>
    <row r="14" ht="20" customHeight="1">
      <c r="A14" s="1" t="n"/>
      <c r="B14" s="17" t="inlineStr">
        <is>
          <t>Apex Oleoresins Ltd</t>
        </is>
      </c>
      <c r="C14" s="17" t="inlineStr">
        <is>
          <t>Cochin</t>
        </is>
      </c>
      <c r="D14" s="18" t="n">
        <v>1</v>
      </c>
      <c r="E14" s="18" t="inlineStr">
        <is>
          <t>27-08-2026</t>
        </is>
      </c>
      <c r="F14" s="17" t="inlineStr">
        <is>
          <t>Pinheads &amp; Extraction Spent (5T)</t>
        </is>
      </c>
      <c r="G14" s="24" t="inlineStr">
        <is>
          <t>Quote Sent</t>
        </is>
      </c>
      <c r="H14" s="17" t="inlineStr">
        <is>
          <t>High-Curcumin Pure Turmeric</t>
        </is>
      </c>
      <c r="I14" s="17" t="inlineStr">
        <is>
          <t>Institutional Kitchens</t>
        </is>
      </c>
      <c r="J14" s="17" t="inlineStr">
        <is>
          <t>500kg Master Bags</t>
        </is>
      </c>
      <c r="K14" s="18" t="inlineStr">
        <is>
          <t>10.0%</t>
        </is>
      </c>
      <c r="L14" s="20" t="inlineStr">
        <is>
          <t>███░░░░░░░</t>
        </is>
      </c>
      <c r="M14" s="18" t="inlineStr">
        <is>
          <t>Consistent</t>
        </is>
      </c>
      <c r="N14" s="1" t="n"/>
      <c r="O14" s="1" t="n"/>
    </row>
    <row r="15" ht="20" customHeight="1">
      <c r="A15" s="1" t="n"/>
      <c r="B15" s="17" t="inlineStr">
        <is>
          <t>Crowne Plaza</t>
        </is>
      </c>
      <c r="C15" s="17" t="inlineStr">
        <is>
          <t>Chennai</t>
        </is>
      </c>
      <c r="D15" s="18" t="n">
        <v>1</v>
      </c>
      <c r="E15" s="18" t="inlineStr">
        <is>
          <t>26-08-2026</t>
        </is>
      </c>
      <c r="F15" s="17" t="inlineStr">
        <is>
          <t>Guntur Stemless Chillies</t>
        </is>
      </c>
      <c r="G15" s="23" t="inlineStr">
        <is>
          <t>New Lead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24" customHeight="1">
      <c r="A17" s="1" t="n"/>
      <c r="B17" s="14" t="inlineStr">
        <is>
          <t xml:space="preserve">  COMMERCIAL PIPELINE CONVERSION FUNNEL &amp; STATUS OVERVIEW</t>
        </is>
      </c>
      <c r="N17" s="1" t="n"/>
      <c r="O17" s="1" t="n"/>
    </row>
    <row r="18" ht="18" customHeight="1">
      <c r="A18" s="1" t="n"/>
      <c r="B18" s="23" t="inlineStr">
        <is>
          <t>1. NEW INQUIRY</t>
        </is>
      </c>
      <c r="D18" s="21" t="inlineStr">
        <is>
          <t>2. IN CALL / TRIAL</t>
        </is>
      </c>
      <c r="F18" s="19" t="inlineStr">
        <is>
          <t>3. QUOTATION SENT</t>
        </is>
      </c>
      <c r="H18" s="22" t="inlineStr">
        <is>
          <t>4. IN NEGOTIATION</t>
        </is>
      </c>
      <c r="J18" s="24" t="inlineStr">
        <is>
          <t>5. CLOSED WON</t>
        </is>
      </c>
      <c r="L18" s="25" t="inlineStr">
        <is>
          <t>6. REPEAT INQUIRIES</t>
        </is>
      </c>
      <c r="N18" s="1" t="n"/>
      <c r="O18" s="1" t="n"/>
    </row>
    <row r="19" ht="26" customHeight="1">
      <c r="A19" s="1" t="n"/>
      <c r="B19" s="26">
        <f>COUNTIF('Active Leads Pipeline'!J4:J500, "*New Lead*")</f>
        <v/>
      </c>
      <c r="D19" s="26">
        <f>COUNTIF('Active Leads Pipeline'!J4:J500, "*Followed Up*") + COUNTIF('Active Leads Pipeline'!J4:J500, "*Sample*")</f>
        <v/>
      </c>
      <c r="F19" s="26">
        <f>COUNTIF('Active Leads Pipeline'!J4:J500, "*Quotation*")</f>
        <v/>
      </c>
      <c r="H19" s="26">
        <f>COUNTIF('Active Leads Pipeline'!J4:J500, "*Negotiation*")</f>
        <v/>
      </c>
      <c r="J19" s="26">
        <f>COUNTIF('Active Leads Pipeline'!J4:J500, "*Closed Won*")</f>
        <v/>
      </c>
      <c r="L19" s="26">
        <f>COUNTIF('Active Leads Pipeline'!J4:J500, "*REPEAT*")</f>
        <v/>
      </c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</sheetData>
  <mergeCells count="35">
    <mergeCell ref="F4:G4"/>
    <mergeCell ref="J5:K5"/>
    <mergeCell ref="D19:E19"/>
    <mergeCell ref="F19:G19"/>
    <mergeCell ref="B8:G8"/>
    <mergeCell ref="J19:K19"/>
    <mergeCell ref="F6:G6"/>
    <mergeCell ref="B17:M17"/>
    <mergeCell ref="H4:I4"/>
    <mergeCell ref="L19:M19"/>
    <mergeCell ref="B18:C18"/>
    <mergeCell ref="D6:E6"/>
    <mergeCell ref="H6:I6"/>
    <mergeCell ref="J6:K6"/>
    <mergeCell ref="F5:G5"/>
    <mergeCell ref="F18:G18"/>
    <mergeCell ref="L18:M18"/>
    <mergeCell ref="L5:M5"/>
    <mergeCell ref="J4:K4"/>
    <mergeCell ref="L4:M4"/>
    <mergeCell ref="B19:C19"/>
    <mergeCell ref="H19:I19"/>
    <mergeCell ref="D4:E4"/>
    <mergeCell ref="H8:M8"/>
    <mergeCell ref="D18:E18"/>
    <mergeCell ref="B2:N2"/>
    <mergeCell ref="B6:C6"/>
    <mergeCell ref="L6:M6"/>
    <mergeCell ref="B1:N1"/>
    <mergeCell ref="B5:C5"/>
    <mergeCell ref="D5:E5"/>
    <mergeCell ref="H18:I18"/>
    <mergeCell ref="J18:K18"/>
    <mergeCell ref="H5:I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22" customWidth="1" min="4" max="4"/>
    <col width="28" customWidth="1" min="5" max="5"/>
    <col width="18" customWidth="1" min="6" max="6"/>
    <col width="24" customWidth="1" min="7" max="7"/>
    <col width="36" customWidth="1" min="8" max="8"/>
    <col width="20" customWidth="1" min="9" max="9"/>
    <col width="22" customWidth="1" min="10" max="10"/>
    <col width="35" customWidth="1" min="11" max="11"/>
    <col width="35" customWidth="1" min="12" max="12"/>
    <col width="20" customWidth="1" min="13" max="13"/>
    <col width="18" customWidth="1" min="14" max="14"/>
  </cols>
  <sheetData>
    <row r="1" ht="34" customHeight="1">
      <c r="A1" s="2" t="inlineStr">
        <is>
          <t xml:space="preserve">  KTA SPICES — LIVE INCOMING LEADS &amp; COMMERCIAL CRM PIPELINE</t>
        </is>
      </c>
    </row>
    <row r="2" ht="20" customHeight="1">
      <c r="A2" s="27" t="inlineStr">
        <is>
          <t xml:space="preserve">  WEBSITE INCOMING DATA (AUTO-LOGGED IN REAL TIME)</t>
        </is>
      </c>
      <c r="I2" s="28" t="inlineStr">
        <is>
          <t xml:space="preserve">  ADMIN &amp; SALES MANAGER CRM FOLLOW-UP WORKSPACE</t>
        </is>
      </c>
    </row>
    <row r="3" ht="26" customHeight="1">
      <c r="A3" s="29" t="inlineStr">
        <is>
          <t>Lead ID</t>
        </is>
      </c>
      <c r="B3" s="29" t="inlineStr">
        <is>
          <t>Timestamp (IST)</t>
        </is>
      </c>
      <c r="C3" s="29" t="inlineStr">
        <is>
          <t>Form Category</t>
        </is>
      </c>
      <c r="D3" s="29" t="inlineStr">
        <is>
          <t>Contact / Manager</t>
        </is>
      </c>
      <c r="E3" s="29" t="inlineStr">
        <is>
          <t>Hotel / Establishment</t>
        </is>
      </c>
      <c r="F3" s="29" t="inlineStr">
        <is>
          <t>Phone / WhatsApp</t>
        </is>
      </c>
      <c r="G3" s="29" t="inlineStr">
        <is>
          <t>Email Address</t>
        </is>
      </c>
      <c r="H3" s="29" t="inlineStr">
        <is>
          <t>Requirement &amp; Volume</t>
        </is>
      </c>
      <c r="I3" s="30" t="inlineStr">
        <is>
          <t>Assigned To</t>
        </is>
      </c>
      <c r="J3" s="30" t="inlineStr">
        <is>
          <t>Lead Status</t>
        </is>
      </c>
      <c r="K3" s="30" t="inlineStr">
        <is>
          <t>Manager Call Notes</t>
        </is>
      </c>
      <c r="L3" s="30" t="inlineStr">
        <is>
          <t>Client Feedback &amp; Demands</t>
        </is>
      </c>
      <c r="M3" s="30" t="inlineStr">
        <is>
          <t>Quoted Value (INR)</t>
        </is>
      </c>
      <c r="N3" s="30" t="inlineStr">
        <is>
          <t>Next Follow-Up Date</t>
        </is>
      </c>
    </row>
    <row r="4" ht="22" customHeight="1">
      <c r="A4" s="31" t="inlineStr">
        <is>
          <t>KTA-2026-001</t>
        </is>
      </c>
      <c r="B4" s="31" t="inlineStr">
        <is>
          <t>29-08-2026 14:20</t>
        </is>
      </c>
      <c r="C4" s="32" t="inlineStr">
        <is>
          <t>Wholesale Consignment (500kg+)</t>
        </is>
      </c>
      <c r="D4" s="32" t="inlineStr">
        <is>
          <t>Chef Rajesh Sharma</t>
        </is>
      </c>
      <c r="E4" s="32" t="inlineStr">
        <is>
          <t>ITC Grand Chola, Chennai</t>
        </is>
      </c>
      <c r="F4" s="31" t="inlineStr">
        <is>
          <t>+91 98401 23456</t>
        </is>
      </c>
      <c r="G4" s="32" t="inlineStr">
        <is>
          <t>rajesh.s@itchotels.in</t>
        </is>
      </c>
      <c r="H4" s="32" t="inlineStr">
        <is>
          <t>1.5 Tons Tellicherry Bold Black Pepper + Cochin Ginger</t>
        </is>
      </c>
      <c r="I4" s="32" t="inlineStr">
        <is>
          <t>Trade Desk Admin</t>
        </is>
      </c>
      <c r="J4" s="33" t="inlineStr">
        <is>
          <t>Quotation Sent</t>
        </is>
      </c>
      <c r="K4" s="32" t="inlineStr">
        <is>
          <t>Discussed lot moisture specifications. Sent official GST pro-forma invoice.</t>
        </is>
      </c>
      <c r="L4" s="32" t="inlineStr">
        <is>
          <t>Requires batch GC-MS assay certificate.</t>
        </is>
      </c>
      <c r="M4" s="34" t="n">
        <v>585000</v>
      </c>
      <c r="N4" s="31" t="inlineStr">
        <is>
          <t>01-09-2026</t>
        </is>
      </c>
    </row>
    <row r="5" ht="22" customHeight="1">
      <c r="A5" s="35" t="inlineStr">
        <is>
          <t>KTA-2026-002</t>
        </is>
      </c>
      <c r="B5" s="35" t="inlineStr">
        <is>
          <t>29-08-2026 15:45</t>
        </is>
      </c>
      <c r="C5" s="36" t="inlineStr">
        <is>
          <t>Chef Welcome Discovery Box</t>
        </is>
      </c>
      <c r="D5" s="36" t="inlineStr">
        <is>
          <t>Chef Anthony Dias</t>
        </is>
      </c>
      <c r="E5" s="36" t="inlineStr">
        <is>
          <t>Taj Coromandel, Chennai</t>
        </is>
      </c>
      <c r="F5" s="35" t="inlineStr">
        <is>
          <t>+91 98840 56789</t>
        </is>
      </c>
      <c r="G5" s="36" t="inlineStr">
        <is>
          <t>anthony.dias@tajhotels.com</t>
        </is>
      </c>
      <c r="H5" s="36" t="inlineStr">
        <is>
          <t>Discovery Trial Sample Box (Cardamom 8mm+ &amp; Pepper)</t>
        </is>
      </c>
      <c r="I5" s="36" t="inlineStr">
        <is>
          <t>Sales Exec 1</t>
        </is>
      </c>
      <c r="J5" s="33" t="inlineStr">
        <is>
          <t>Sample Dispatched</t>
        </is>
      </c>
      <c r="K5" s="36" t="inlineStr">
        <is>
          <t>Dispatched sample box ex-warehouse via BlueDart AWB #BLR89231.</t>
        </is>
      </c>
      <c r="L5" s="36" t="inlineStr">
        <is>
          <t>Chef interested in Alleppey 8mm green cardamom aroma.</t>
        </is>
      </c>
      <c r="M5" s="37" t="n">
        <v>0</v>
      </c>
      <c r="N5" s="35" t="inlineStr">
        <is>
          <t>02-09-2026</t>
        </is>
      </c>
    </row>
    <row r="6" ht="22" customHeight="1">
      <c r="A6" s="31" t="inlineStr">
        <is>
          <t>KTA-2026-003</t>
        </is>
      </c>
      <c r="B6" s="31" t="inlineStr">
        <is>
          <t>29-08-2026 17:10</t>
        </is>
      </c>
      <c r="C6" s="32" t="inlineStr">
        <is>
          <t>Corporate Kitchen Partnership</t>
        </is>
      </c>
      <c r="D6" s="32" t="inlineStr">
        <is>
          <t>Praveen Kumar (Purchase Dir)</t>
        </is>
      </c>
      <c r="E6" s="32" t="inlineStr">
        <is>
          <t>Hyatt Regency, Bengaluru</t>
        </is>
      </c>
      <c r="F6" s="31" t="inlineStr">
        <is>
          <t>+91 97412 34567</t>
        </is>
      </c>
      <c r="G6" s="32" t="inlineStr">
        <is>
          <t>praveen.k@hyatt.com</t>
        </is>
      </c>
      <c r="H6" s="32" t="inlineStr">
        <is>
          <t>Hotel Smart 24/7 Par Supply (Monthly 800kg mixed spices)</t>
        </is>
      </c>
      <c r="I6" s="32" t="inlineStr">
        <is>
          <t>Trade Desk Admin</t>
        </is>
      </c>
      <c r="J6" s="38" t="inlineStr">
        <is>
          <t>In Negotiation</t>
        </is>
      </c>
      <c r="K6" s="32" t="inlineStr">
        <is>
          <t>Agreed on monthly par schedule ex-origin. Reviewing 30-day corporate credit terms.</t>
        </is>
      </c>
      <c r="L6" s="32" t="inlineStr">
        <is>
          <t>Requested contract draft for 12 months.</t>
        </is>
      </c>
      <c r="M6" s="34" t="n">
        <v>340000</v>
      </c>
      <c r="N6" s="31" t="inlineStr">
        <is>
          <t>31-08-2026</t>
        </is>
      </c>
    </row>
    <row r="7" ht="22" customHeight="1">
      <c r="A7" s="35" t="inlineStr">
        <is>
          <t>KTA-2026-004</t>
        </is>
      </c>
      <c r="B7" s="35" t="inlineStr">
        <is>
          <t>29-08-2026 18:25</t>
        </is>
      </c>
      <c r="C7" s="36" t="inlineStr">
        <is>
          <t>Wholesale Consignment (500kg+)</t>
        </is>
      </c>
      <c r="D7" s="36" t="inlineStr">
        <is>
          <t>Executive Chef Test</t>
        </is>
      </c>
      <c r="E7" s="36" t="inlineStr">
        <is>
          <t>Leela Palace Hotel</t>
        </is>
      </c>
      <c r="F7" s="35" t="inlineStr">
        <is>
          <t>+91 6363837616</t>
        </is>
      </c>
      <c r="G7" s="36" t="inlineStr">
        <is>
          <t>orders@ktaspices.in</t>
        </is>
      </c>
      <c r="H7" s="36" t="inlineStr">
        <is>
          <t>1 Ton Master Consignment (Tellicherry Bold + Dry Ginger)</t>
        </is>
      </c>
      <c r="I7" s="36" t="inlineStr">
        <is>
          <t>Trade Desk Admin</t>
        </is>
      </c>
      <c r="J7" s="39" t="inlineStr">
        <is>
          <t>New Lead</t>
        </is>
      </c>
      <c r="K7" s="36" t="inlineStr">
        <is>
          <t>Incoming website RFQ received. Auto-logged via webhook.</t>
        </is>
      </c>
      <c r="L7" s="36" t="inlineStr">
        <is>
          <t>Awaiting trade desk discovery call.</t>
        </is>
      </c>
      <c r="M7" s="37" t="n">
        <v>380000</v>
      </c>
      <c r="N7" s="35" t="inlineStr">
        <is>
          <t>30-08-2026</t>
        </is>
      </c>
    </row>
    <row r="8" ht="22" customHeight="1">
      <c r="A8" s="31" t="inlineStr">
        <is>
          <t>KTA-2026-005</t>
        </is>
      </c>
      <c r="B8" s="31" t="inlineStr">
        <is>
          <t>29-08-2026 19:15</t>
        </is>
      </c>
      <c r="C8" s="32" t="inlineStr">
        <is>
          <t>Wholesale Consignment (500kg+)</t>
        </is>
      </c>
      <c r="D8" s="32" t="inlineStr">
        <is>
          <t>Suresh Menon (Plant Mgr)</t>
        </is>
      </c>
      <c r="E8" s="32" t="inlineStr">
        <is>
          <t>Apex Oleoresins Ltd</t>
        </is>
      </c>
      <c r="F8" s="31" t="inlineStr">
        <is>
          <t>+91 94471 23456</t>
        </is>
      </c>
      <c r="G8" s="32" t="inlineStr">
        <is>
          <t>procurement@apexextracts.com</t>
        </is>
      </c>
      <c r="H8" s="32" t="inlineStr">
        <is>
          <t>Pinheads 2 Tons + Spent Ginger Biomass 5 Tons</t>
        </is>
      </c>
      <c r="I8" s="32" t="inlineStr">
        <is>
          <t>Extraction Desk</t>
        </is>
      </c>
      <c r="J8" s="33" t="inlineStr">
        <is>
          <t>Followed Up / In Call</t>
        </is>
      </c>
      <c r="K8" s="32" t="inlineStr">
        <is>
          <t>Discussed residual piperine content and moisture limits below 10%.</t>
        </is>
      </c>
      <c r="L8" s="32" t="inlineStr">
        <is>
          <t>Sending 5kg lab sample for density testing.</t>
        </is>
      </c>
      <c r="M8" s="34" t="n">
        <v>820000</v>
      </c>
      <c r="N8" s="31" t="inlineStr">
        <is>
          <t>03-09-2026</t>
        </is>
      </c>
    </row>
  </sheetData>
  <mergeCells count="3">
    <mergeCell ref="I2:N2"/>
    <mergeCell ref="A2:H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2026-08-29T14:21:16Z</dcterms:created>
  <dcterms:modified xmlns:dcterms="http://purl.org/dc/terms/" xmlns:xsi="http://www.w3.org/2001/XMLSchema-instance" xsi:type="dcterms:W3CDTF">2026-08-29T14:21:16Z</dcterms:modified>
</cp:coreProperties>
</file>